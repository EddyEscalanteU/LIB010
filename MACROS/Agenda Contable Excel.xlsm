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ddye\Downloads\"/>
    </mc:Choice>
  </mc:AlternateContent>
  <bookViews>
    <workbookView xWindow="0" yWindow="0" windowWidth="23040" windowHeight="9072" activeTab="1"/>
  </bookViews>
  <sheets>
    <sheet name="Calendario" sheetId="2" r:id="rId1"/>
    <sheet name="Tareas" sheetId="4" r:id="rId2"/>
    <sheet name="Feriados" sheetId="6" r:id="rId3"/>
    <sheet name="Auxiliar" sheetId="3" state="hidden" r:id="rId4"/>
  </sheets>
  <externalReferences>
    <externalReference r:id="rId5"/>
  </externalReferences>
  <definedNames>
    <definedName name="Año">Auxiliar!$D$3:$D$34</definedName>
    <definedName name="Citas" localSheetId="2">OFFSET(Feriados!$B$7,,,COUNTA(Feriados!$B$7:$B$10000),3)</definedName>
    <definedName name="Citas">OFFSET(Tareas!$B$6,,,COUNTA(Tareas!$B$6:$B$10003),3)</definedName>
    <definedName name="Comprobantes">'[1]Tabla de Comprobantes'!$A$3:$A$65</definedName>
    <definedName name="Feriados">OFFSET(Feriados!$B$7,,,COUNTA(Feriados!$B$7:$B$50))</definedName>
    <definedName name="Laborables">Feriados!#REF!</definedName>
    <definedName name="Meses">Auxiliar!$A$3:$A$14</definedName>
    <definedName name="PC">'[1]Tabla de Comprobantes'!$E$3:$E$14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2" l="1" a="1"/>
  <c r="J10" i="2" s="1"/>
  <c r="K11" i="2" l="1" a="1"/>
  <c r="K11" i="2" s="1"/>
  <c r="K12" i="2" a="1"/>
  <c r="K12" i="2" s="1"/>
  <c r="K13" i="2" a="1"/>
  <c r="K13" i="2" s="1"/>
  <c r="K14" i="2" a="1"/>
  <c r="K14" i="2" s="1"/>
  <c r="K15" i="2" a="1"/>
  <c r="K15" i="2" s="1"/>
  <c r="K16" i="2" a="1"/>
  <c r="K16" i="2" s="1"/>
  <c r="K17" i="2" a="1"/>
  <c r="K17" i="2" s="1"/>
  <c r="K18" i="2" a="1"/>
  <c r="K18" i="2" s="1"/>
  <c r="K19" i="2" a="1"/>
  <c r="K19" i="2" s="1"/>
  <c r="L11" i="2" l="1" a="1"/>
  <c r="L11" i="2" s="1"/>
  <c r="L12" i="2" a="1"/>
  <c r="L12" i="2" s="1"/>
  <c r="L13" i="2" a="1"/>
  <c r="L13" i="2" s="1"/>
  <c r="L14" i="2" a="1"/>
  <c r="L14" i="2" s="1"/>
  <c r="L15" i="2" a="1"/>
  <c r="L15" i="2" s="1"/>
  <c r="L16" i="2" a="1"/>
  <c r="L16" i="2" s="1"/>
  <c r="L17" i="2" a="1"/>
  <c r="L17" i="2" s="1"/>
  <c r="L18" i="2" a="1"/>
  <c r="L18" i="2" s="1"/>
  <c r="L19" i="2" a="1"/>
  <c r="L19" i="2" s="1"/>
  <c r="L10" i="2" a="1"/>
  <c r="L10" i="2" s="1"/>
  <c r="K10" i="2" a="1"/>
  <c r="K10" i="2" s="1"/>
  <c r="J11" i="2" a="1"/>
  <c r="J11" i="2" s="1"/>
  <c r="J12" i="2" a="1"/>
  <c r="J12" i="2" s="1"/>
  <c r="J13" i="2" a="1"/>
  <c r="J13" i="2" s="1"/>
  <c r="J14" i="2" a="1"/>
  <c r="J14" i="2" s="1"/>
  <c r="J15" i="2" a="1"/>
  <c r="J15" i="2" s="1"/>
  <c r="J16" i="2" a="1"/>
  <c r="J16" i="2" s="1"/>
  <c r="J17" i="2" a="1"/>
  <c r="J17" i="2" s="1"/>
  <c r="J18" i="2" a="1"/>
  <c r="J18" i="2" s="1"/>
  <c r="J19" i="2" a="1"/>
  <c r="J19" i="2" s="1"/>
  <c r="B8" i="2"/>
  <c r="B10" i="2" l="1"/>
  <c r="C10" i="2" s="1"/>
  <c r="D10" i="2" s="1"/>
  <c r="E10" i="2" s="1"/>
  <c r="F10" i="2" s="1"/>
  <c r="G10" i="2" s="1"/>
  <c r="H10" i="2" s="1"/>
  <c r="B11" i="2" s="1"/>
  <c r="C11" i="2" s="1"/>
  <c r="D11" i="2" s="1"/>
  <c r="E11" i="2" s="1"/>
  <c r="F11" i="2" s="1"/>
  <c r="G11" i="2" s="1"/>
  <c r="H11" i="2" s="1"/>
  <c r="B12" i="2" s="1"/>
  <c r="C12" i="2" s="1"/>
  <c r="D12" i="2" s="1"/>
  <c r="E12" i="2" l="1"/>
  <c r="F12" i="2" s="1"/>
  <c r="G12" i="2" s="1"/>
  <c r="H12" i="2" l="1"/>
  <c r="B13" i="2" s="1"/>
  <c r="C13" i="2" s="1"/>
  <c r="D13" i="2" s="1"/>
  <c r="E13" i="2" s="1"/>
  <c r="F13" i="2" s="1"/>
  <c r="G13" i="2" s="1"/>
  <c r="H13" i="2" s="1"/>
  <c r="B14" i="2" s="1"/>
  <c r="C14" i="2" s="1"/>
  <c r="D14" i="2" s="1"/>
  <c r="E14" i="2" s="1"/>
  <c r="F14" i="2" s="1"/>
  <c r="G14" i="2" s="1"/>
  <c r="H14" i="2" s="1"/>
  <c r="B15" i="2" s="1"/>
  <c r="C15" i="2" s="1"/>
  <c r="D15" i="2" s="1"/>
  <c r="E15" i="2" s="1"/>
  <c r="F15" i="2" s="1"/>
  <c r="G15" i="2" s="1"/>
  <c r="H15" i="2" s="1"/>
</calcChain>
</file>

<file path=xl/sharedStrings.xml><?xml version="1.0" encoding="utf-8"?>
<sst xmlns="http://schemas.openxmlformats.org/spreadsheetml/2006/main" count="72" uniqueCount="69">
  <si>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</si>
  <si>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</si>
  <si>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</si>
  <si>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</si>
  <si>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</si>
  <si>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</si>
  <si>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</si>
  <si>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</si>
  <si>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</si>
  <si>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</si>
  <si>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</si>
  <si>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</si>
  <si>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Mes</t>
  </si>
  <si>
    <t># de mes</t>
  </si>
  <si>
    <t>Años</t>
  </si>
  <si>
    <t>Año</t>
  </si>
  <si>
    <t>Hora</t>
  </si>
  <si>
    <t>Día</t>
  </si>
  <si>
    <t>LUN</t>
  </si>
  <si>
    <t>MAR</t>
  </si>
  <si>
    <t>MIE</t>
  </si>
  <si>
    <t>JUE</t>
  </si>
  <si>
    <t>VIE</t>
  </si>
  <si>
    <t>SAB</t>
  </si>
  <si>
    <t>DOM</t>
  </si>
  <si>
    <t>FECHA</t>
  </si>
  <si>
    <t>HORA</t>
  </si>
  <si>
    <t>Concepto</t>
  </si>
  <si>
    <t>Año Nuevo</t>
  </si>
  <si>
    <t>FERIADOS Y VACACIONES</t>
  </si>
  <si>
    <t>Ingrese los feriados y vacaciones</t>
  </si>
  <si>
    <t>Seleccione el año</t>
  </si>
  <si>
    <t>Seleccione el mes</t>
  </si>
  <si>
    <t>Seleccione abajo el día que quiera visualizar</t>
  </si>
  <si>
    <t>TAREAS</t>
  </si>
  <si>
    <t xml:space="preserve">Tarea </t>
  </si>
  <si>
    <t>Ingrese la información requerida</t>
  </si>
  <si>
    <t>TAREA</t>
  </si>
  <si>
    <t>Inicio Vencimiento Mensual Enero 2021</t>
  </si>
  <si>
    <t>Inicio Vencimiento Mensual Febrero 2021</t>
  </si>
  <si>
    <t>Inicio Vencimiento Mensual Marzo 2021</t>
  </si>
  <si>
    <t>Inicio Vencimiento Mensual Abril 2021</t>
  </si>
  <si>
    <t>Inicio Vencimiento Mensual Mayo 2021</t>
  </si>
  <si>
    <t>Inicio Vencimiento Mensual Junio 2021</t>
  </si>
  <si>
    <t>Inicio Vencimiento Mensual Julio 2021</t>
  </si>
  <si>
    <t>Inicio Vencimiento Mensual Agosto 2021</t>
  </si>
  <si>
    <t>Inicio Vencimiento Mensual Setiembre 2021</t>
  </si>
  <si>
    <t>Inicio Vencimiento Mensual Octubre 2021</t>
  </si>
  <si>
    <t>Inicio Vencimiento Mensual Noviembre 2021</t>
  </si>
  <si>
    <t>Inicio Vencimiento Mensual Diciembre 2021</t>
  </si>
  <si>
    <t>Inicio Vencimiento PLE Enero 2021</t>
  </si>
  <si>
    <t>Inicio Vencimiento PLE Febrero 2021</t>
  </si>
  <si>
    <t>Inicio Vencimiento PLE Marzo 2021</t>
  </si>
  <si>
    <t>Inicio Vencimiento PLE Abril 2021</t>
  </si>
  <si>
    <t>Inicio Vencimiento PLE Mayo 2021</t>
  </si>
  <si>
    <t>Inicio Vencimiento PLE Junio 2021</t>
  </si>
  <si>
    <t>Inicio Vencimiento PLE Julio 2021</t>
  </si>
  <si>
    <t>Inicio Vencimiento PLE Agosto 2021</t>
  </si>
  <si>
    <t>Inicio Vencimiento PLE Setiembre 2021</t>
  </si>
  <si>
    <t>Inicio Vencimiento PLE Octubre 2021</t>
  </si>
  <si>
    <t>Inicio Vencimiento PLEl Noviembre 2021</t>
  </si>
  <si>
    <t>Inicio Vencimiento PLE Diciembre 2021</t>
  </si>
  <si>
    <t>Combate Angamos</t>
  </si>
  <si>
    <t>Dia de los muertos</t>
  </si>
  <si>
    <t>Navidad</t>
  </si>
  <si>
    <t>Inicio del Año 2021</t>
  </si>
  <si>
    <t>Vencimiento Mensual RUC 2 y 3 -  Febrero 2021</t>
  </si>
  <si>
    <t>Vencimiento Mensual RUC 1 -  Enero 2022</t>
  </si>
  <si>
    <t>Vencimiento Mensual RUC 1 -  Abril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</si>
</sst>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800]dddd\,\ mmmm\ dd\,\ yyyy"/>
    <numFmt numFmtId="165" formatCode="d"/>
    <numFmt numFmtId="166" formatCode="[$-F400]h:mm:ss\ AM/PM"/>
    <numFmt numFmtId="167" formatCode="dd/mm/yyyy"/>
  </numFmts>
  <fonts count="16" x14ac:knownFonts="1">
    <font>
      <sz val="11"/>
      <color theme="1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b/>
      <sz val="20"/>
      <color theme="1" tint="4.9989318521683403E-2"/>
      <name val="Calibri"/>
      <family val="2"/>
      <scheme val="minor"/>
    </font>
    <font>
      <sz val="16"/>
      <color theme="1" tint="0.34998626667073579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sz val="22"/>
      <color theme="1" tint="0.34998626667073579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4"/>
      <color theme="1" tint="0.34998626667073579"/>
      <name val="Calibri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DB00"/>
        <bgColor indexed="64"/>
      </patternFill>
    </fill>
    <fill>
      <patternFill patternType="solid">
        <fgColor rgb="FFFFFCE7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/>
      <top/>
      <bottom style="medium">
        <color theme="0" tint="-4.9989318521683403E-2"/>
      </bottom>
      <diagonal/>
    </border>
    <border>
      <left/>
      <right/>
      <top/>
      <bottom style="thick">
        <color rgb="FFFFDB00"/>
      </bottom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0" fontId="9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0" borderId="0" xfId="0" applyFill="1"/>
    <xf numFmtId="0" fontId="1" fillId="3" borderId="0" xfId="0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0" fontId="0" fillId="0" borderId="0" xfId="0" applyBorder="1"/>
    <xf numFmtId="164" fontId="4" fillId="0" borderId="5" xfId="0" applyNumberFormat="1" applyFont="1" applyBorder="1" applyAlignment="1">
      <alignment horizontal="center"/>
    </xf>
    <xf numFmtId="166" fontId="4" fillId="0" borderId="5" xfId="0" applyNumberFormat="1" applyFont="1" applyBorder="1" applyAlignment="1">
      <alignment horizontal="center"/>
    </xf>
    <xf numFmtId="14" fontId="2" fillId="0" borderId="5" xfId="0" applyNumberFormat="1" applyFont="1" applyBorder="1" applyAlignment="1">
      <alignment horizontal="left"/>
    </xf>
    <xf numFmtId="166" fontId="2" fillId="0" borderId="5" xfId="0" applyNumberFormat="1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5" fillId="0" borderId="0" xfId="0" applyFont="1"/>
    <xf numFmtId="0" fontId="7" fillId="4" borderId="2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0" fillId="0" borderId="0" xfId="0" applyFont="1" applyBorder="1" applyAlignment="1">
      <alignment vertical="top"/>
    </xf>
    <xf numFmtId="0" fontId="12" fillId="0" borderId="0" xfId="0" applyFont="1" applyBorder="1" applyAlignment="1">
      <alignment vertical="center"/>
    </xf>
    <xf numFmtId="14" fontId="13" fillId="0" borderId="0" xfId="0" applyNumberFormat="1" applyFont="1" applyAlignment="1">
      <alignment horizontal="center"/>
    </xf>
    <xf numFmtId="0" fontId="9" fillId="0" borderId="0" xfId="1"/>
    <xf numFmtId="166" fontId="14" fillId="0" borderId="5" xfId="0" applyNumberFormat="1" applyFont="1" applyBorder="1" applyAlignment="1">
      <alignment horizontal="left"/>
    </xf>
    <xf numFmtId="0" fontId="14" fillId="0" borderId="5" xfId="0" applyFont="1" applyBorder="1" applyAlignment="1">
      <alignment horizontal="left"/>
    </xf>
    <xf numFmtId="166" fontId="14" fillId="0" borderId="11" xfId="0" applyNumberFormat="1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166" fontId="4" fillId="0" borderId="5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166" fontId="2" fillId="0" borderId="5" xfId="0" applyNumberFormat="1" applyFont="1" applyBorder="1" applyAlignment="1">
      <alignment horizontal="center"/>
    </xf>
    <xf numFmtId="14" fontId="2" fillId="0" borderId="9" xfId="0" applyNumberFormat="1" applyFont="1" applyBorder="1" applyAlignment="1">
      <alignment horizontal="center"/>
    </xf>
    <xf numFmtId="167" fontId="14" fillId="0" borderId="9" xfId="0" applyNumberFormat="1" applyFont="1" applyBorder="1" applyAlignment="1">
      <alignment horizontal="center"/>
    </xf>
    <xf numFmtId="167" fontId="14" fillId="0" borderId="10" xfId="0" applyNumberFormat="1" applyFont="1" applyBorder="1" applyAlignment="1">
      <alignment horizontal="center"/>
    </xf>
    <xf numFmtId="0" fontId="3" fillId="0" borderId="3" xfId="0" applyFont="1" applyFill="1" applyBorder="1" applyAlignment="1">
      <alignment horizontal="center" vertical="center" wrapText="1"/>
    </xf>
    <xf numFmtId="14" fontId="11" fillId="3" borderId="12" xfId="0" applyNumberFormat="1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14">
    <dxf>
      <font>
        <color theme="0" tint="-0.34998626667073579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4.9989318521683403E-2"/>
        </top>
        <bottom style="medium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numFmt numFmtId="166" formatCode="[$-F400]h:mm:ss\ AM/PM"/>
      <alignment horizontal="left" vertical="bottom" textRotation="0" wrapText="0" indent="0" justifyLastLine="0" shrinkToFit="0" readingOrder="0"/>
      <border diagonalUp="0" diagonalDown="0" outline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4.9989318521683403E-2"/>
        </top>
        <bottom style="medium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numFmt numFmtId="167" formatCode="dd/mm/yyyy"/>
      <alignment horizontal="center" vertical="bottom" textRotation="0" wrapText="0" indent="0" justifyLastLine="0" shrinkToFit="0" readingOrder="0"/>
      <border diagonalUp="0" diagonalDown="0" outline="0">
        <left/>
        <right style="medium">
          <color theme="0" tint="-4.9989318521683403E-2"/>
        </right>
        <top style="medium">
          <color theme="0" tint="-4.9989318521683403E-2"/>
        </top>
        <bottom style="medium">
          <color theme="0" tint="-4.9989318521683403E-2"/>
        </bottom>
      </border>
    </dxf>
    <dxf>
      <border outline="0">
        <top style="medium">
          <color theme="0" tint="-4.9989318521683403E-2"/>
        </top>
      </border>
    </dxf>
    <dxf>
      <border outline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0.14996795556505021"/>
        </top>
        <bottom style="medium">
          <color theme="0" tint="-4.9989318521683403E-2"/>
        </bottom>
      </border>
    </dxf>
    <dxf>
      <border outline="0">
        <bottom style="medium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theme="0" tint="-4.9989318521683403E-2"/>
        </left>
        <right style="medium">
          <color theme="0" tint="-4.9989318521683403E-2"/>
        </right>
        <top/>
        <bottom/>
      </border>
    </dxf>
    <dxf>
      <fill>
        <gradientFill type="path">
          <stop position="0">
            <color theme="0"/>
          </stop>
          <stop position="1">
            <color theme="9" tint="0.80001220740379042"/>
          </stop>
        </gradientFill>
      </fill>
    </dxf>
    <dxf>
      <font>
        <color rgb="FFFF0000"/>
      </font>
    </dxf>
    <dxf>
      <font>
        <color theme="4"/>
      </font>
      <fill>
        <patternFill patternType="none">
          <bgColor auto="1"/>
        </patternFill>
      </fill>
    </dxf>
    <dxf>
      <font>
        <color theme="0" tint="-0.34998626667073579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166687</xdr:colOff>
      <xdr:row>0</xdr:row>
      <xdr:rowOff>194715</xdr:rowOff>
    </xdr:from>
    <xdr:to>
      <xdr:col>6</xdr:col>
      <xdr:colOff>653143</xdr:colOff>
      <xdr:row>2</xdr:row>
      <xdr:rowOff>36759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40531" y="194715"/>
          <a:ext cx="5293179" cy="735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Agenda Contable</a:t>
          </a:r>
          <a:endParaRPr lang="es-PE" sz="3600">
            <a:effectLst/>
          </a:endParaRPr>
        </a:p>
      </xdr:txBody>
    </xdr:sp>
    <xdr:clientData/>
  </xdr:twoCellAnchor>
  <xdr:twoCellAnchor editAs="absolute">
    <xdr:from>
      <xdr:col>10</xdr:col>
      <xdr:colOff>697365</xdr:colOff>
      <xdr:row>0</xdr:row>
      <xdr:rowOff>194715</xdr:rowOff>
    </xdr:from>
    <xdr:to>
      <xdr:col>11</xdr:col>
      <xdr:colOff>2637141</xdr:colOff>
      <xdr:row>2</xdr:row>
      <xdr:rowOff>36759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0688410" y="194715"/>
          <a:ext cx="3188229" cy="735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Apple Symbols" panose="02000000000000000000" pitchFamily="2" charset="-79"/>
              <a:cs typeface="Apple Symbols" panose="02000000000000000000" pitchFamily="2" charset="-79"/>
            </a:rPr>
            <a:t>NoticiroContable.com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569685</xdr:colOff>
      <xdr:row>1</xdr:row>
      <xdr:rowOff>1322</xdr:rowOff>
    </xdr:from>
    <xdr:to>
      <xdr:col>8</xdr:col>
      <xdr:colOff>709914</xdr:colOff>
      <xdr:row>2</xdr:row>
      <xdr:rowOff>33867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6537362" y="184679"/>
          <a:ext cx="3188229" cy="738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NoticieroContable.com</a:t>
          </a:r>
          <a:endParaRPr lang="es-PE" sz="2400">
            <a:effectLst/>
          </a:endParaRPr>
        </a:p>
      </xdr:txBody>
    </xdr:sp>
    <xdr:clientData/>
  </xdr:twoCellAnchor>
  <xdr:twoCellAnchor>
    <xdr:from>
      <xdr:col>6</xdr:col>
      <xdr:colOff>100542</xdr:colOff>
      <xdr:row>98</xdr:row>
      <xdr:rowOff>107156</xdr:rowOff>
    </xdr:from>
    <xdr:to>
      <xdr:col>8</xdr:col>
      <xdr:colOff>153458</xdr:colOff>
      <xdr:row>101</xdr:row>
      <xdr:rowOff>168011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577667" y="24919781"/>
          <a:ext cx="1576916" cy="7395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Para agregar filas arrastrar la</a:t>
          </a:r>
          <a:r>
            <a:rPr lang="es-AR" sz="1100" baseline="0"/>
            <a:t> flecha hacia abajo</a:t>
          </a:r>
          <a:endParaRPr lang="es-AR" sz="1100"/>
        </a:p>
      </xdr:txBody>
    </xdr:sp>
    <xdr:clientData/>
  </xdr:twoCellAnchor>
  <xdr:twoCellAnchor>
    <xdr:from>
      <xdr:col>4</xdr:col>
      <xdr:colOff>125677</xdr:colOff>
      <xdr:row>99</xdr:row>
      <xdr:rowOff>222249</xdr:rowOff>
    </xdr:from>
    <xdr:to>
      <xdr:col>5</xdr:col>
      <xdr:colOff>527844</xdr:colOff>
      <xdr:row>99</xdr:row>
      <xdr:rowOff>222249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6078802" y="25284905"/>
          <a:ext cx="116416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42334</xdr:colOff>
      <xdr:row>1</xdr:row>
      <xdr:rowOff>0</xdr:rowOff>
    </xdr:from>
    <xdr:to>
      <xdr:col>3</xdr:col>
      <xdr:colOff>3032315</xdr:colOff>
      <xdr:row>2</xdr:row>
      <xdr:rowOff>32280</xdr:rowOff>
    </xdr:to>
    <xdr:sp macro="" textlink="">
      <xdr:nvSpPr>
        <xdr:cNvPr id="7" name="TextBox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54001" y="186267"/>
          <a:ext cx="5293179" cy="735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Agenda Contable</a:t>
          </a:r>
          <a:endParaRPr lang="es-PE" sz="32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463586</xdr:colOff>
      <xdr:row>1</xdr:row>
      <xdr:rowOff>5556</xdr:rowOff>
    </xdr:from>
    <xdr:to>
      <xdr:col>8</xdr:col>
      <xdr:colOff>603815</xdr:colOff>
      <xdr:row>2</xdr:row>
      <xdr:rowOff>48419</xdr:rowOff>
    </xdr:to>
    <xdr:sp macro="" textlink="">
      <xdr:nvSpPr>
        <xdr:cNvPr id="4" name="TextBox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4254536" y="196056"/>
          <a:ext cx="3188229" cy="738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Apple Symbols" panose="02000000000000000000" pitchFamily="2" charset="-79"/>
              <a:cs typeface="Apple Symbols" panose="02000000000000000000" pitchFamily="2" charset="-79"/>
            </a:rPr>
            <a:t>NoticieroContable.com</a:t>
          </a:r>
        </a:p>
      </xdr:txBody>
    </xdr:sp>
    <xdr:clientData/>
  </xdr:twoCellAnchor>
  <xdr:twoCellAnchor editAs="absolute">
    <xdr:from>
      <xdr:col>1</xdr:col>
      <xdr:colOff>0</xdr:colOff>
      <xdr:row>1</xdr:row>
      <xdr:rowOff>7144</xdr:rowOff>
    </xdr:from>
    <xdr:to>
      <xdr:col>6</xdr:col>
      <xdr:colOff>187779</xdr:colOff>
      <xdr:row>2</xdr:row>
      <xdr:rowOff>46832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209550" y="197644"/>
          <a:ext cx="5293179" cy="735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800" b="1">
              <a:solidFill>
                <a:schemeClr val="tx1">
                  <a:lumMod val="85000"/>
                  <a:lumOff val="15000"/>
                </a:schemeClr>
              </a:solidFill>
            </a:rPr>
            <a:t>Agenda Contable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c\Home\Users\santiago\Downloads\planilla-de-excel-para-el-aplicativo-de-compras-y-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a1" displayName="Tabla1" ref="B5:D100" totalsRowShown="0" headerRowDxfId="8" headerRowBorderDxfId="7" tableBorderDxfId="6" totalsRowBorderDxfId="5">
  <autoFilter ref="B5:D100">
    <filterColumn colId="0" hiddenButton="1"/>
    <filterColumn colId="1" hiddenButton="1"/>
    <filterColumn colId="2" hiddenButton="1"/>
  </autoFilter>
  <tableColumns count="3">
    <tableColumn id="1" name="Día" dataDxfId="4"/>
    <tableColumn id="2" name="Hora" dataDxfId="3"/>
    <tableColumn id="3" name="Tarea 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L26"/>
  <sheetViews>
    <sheetView showGridLines="0" zoomScale="70" zoomScaleNormal="70" workbookViewId="0">
      <selection activeCell="G4" sqref="G4"/>
    </sheetView>
  </sheetViews>
  <sheetFormatPr baseColWidth="10" defaultRowHeight="15.6" x14ac:dyDescent="0.3"/>
  <cols>
    <col min="1" max="1" width="4.109375" style="21" customWidth="1"/>
    <col min="2" max="3" width="13.21875" customWidth="1"/>
    <col min="4" max="4" width="14.21875" customWidth="1"/>
    <col min="5" max="5" width="18.77734375" customWidth="1"/>
    <col min="6" max="8" width="13.21875" customWidth="1"/>
    <col min="9" max="9" width="5.109375" customWidth="1"/>
    <col min="10" max="10" width="41.109375" bestFit="1" customWidth="1"/>
    <col min="11" max="11" width="18.5546875" customWidth="1"/>
    <col min="12" max="12" width="61.88671875" customWidth="1"/>
  </cols>
  <sheetData>
    <row r="2" spans="1:12" s="4" customFormat="1" ht="54.9" customHeight="1" x14ac:dyDescent="0.3"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ht="16.2" thickBot="1" x14ac:dyDescent="0.35"/>
    <row r="4" spans="1:12" s="13" customFormat="1" ht="29.4" thickBot="1" x14ac:dyDescent="0.6">
      <c r="A4" s="21"/>
      <c r="D4" s="15" t="s">
        <v>15</v>
      </c>
      <c r="E4" s="14">
        <v>2022</v>
      </c>
      <c r="F4" s="19" t="s">
        <v>31</v>
      </c>
    </row>
    <row r="5" spans="1:12" s="13" customFormat="1" ht="29.4" thickBot="1" x14ac:dyDescent="0.6">
      <c r="A5" s="21"/>
      <c r="D5" s="15" t="s">
        <v>12</v>
      </c>
      <c r="E5" s="14" t="s">
        <v>0</v>
      </c>
      <c r="F5" s="19" t="s">
        <v>32</v>
      </c>
    </row>
    <row r="6" spans="1:12" x14ac:dyDescent="0.3">
      <c r="E6" s="1"/>
    </row>
    <row r="7" spans="1:12" ht="16.2" thickBot="1" x14ac:dyDescent="0.35">
      <c r="B7" s="19" t="s">
        <v>33</v>
      </c>
      <c r="E7" s="1"/>
      <c r="H7" s="2"/>
      <c r="J7" s="20">
        <v>44575</v>
      </c>
    </row>
    <row r="8" spans="1:12" ht="24" customHeight="1" thickBot="1" x14ac:dyDescent="0.35">
      <c r="B8" s="32" t="str">
        <f>TEXT(DATE(E4,VLOOKUP(E5,Auxiliar!$A$3:$B$14,2,0),1),"MMMM")&amp;" "&amp;Calendario!E4</f>
        <v>January 2022</v>
      </c>
      <c r="C8" s="32"/>
      <c r="D8" s="32"/>
      <c r="E8" s="32"/>
      <c r="F8" s="32"/>
      <c r="G8" s="32"/>
      <c r="H8" s="32"/>
      <c r="J8" s="33" t="s">
        <v>34</v>
      </c>
      <c r="K8" s="34"/>
      <c r="L8" s="35"/>
    </row>
    <row r="9" spans="1:12" ht="30" customHeight="1" thickTop="1" thickBot="1" x14ac:dyDescent="0.35">
      <c r="B9" s="5" t="s">
        <v>18</v>
      </c>
      <c r="C9" s="5" t="s">
        <v>19</v>
      </c>
      <c r="D9" s="5" t="s">
        <v>20</v>
      </c>
      <c r="E9" s="5" t="s">
        <v>21</v>
      </c>
      <c r="F9" s="5" t="s">
        <v>22</v>
      </c>
      <c r="G9" s="5" t="s">
        <v>23</v>
      </c>
      <c r="H9" s="5" t="s">
        <v>24</v>
      </c>
      <c r="J9" s="5" t="s">
        <v>25</v>
      </c>
      <c r="K9" s="5" t="s">
        <v>26</v>
      </c>
      <c r="L9" s="5" t="s">
        <v>37</v>
      </c>
    </row>
    <row r="10" spans="1:12" ht="26.25" customHeight="1" thickBot="1" x14ac:dyDescent="0.45">
      <c r="B10" s="6">
        <f>B8-WEEKDAY(B8,11)+1</f>
        <v>44557</v>
      </c>
      <c r="C10" s="6">
        <f>B10+1</f>
        <v>44558</v>
      </c>
      <c r="D10" s="6">
        <f t="shared" ref="D10:H10" si="0">C10+1</f>
        <v>44559</v>
      </c>
      <c r="E10" s="6">
        <f t="shared" si="0"/>
        <v>44560</v>
      </c>
      <c r="F10" s="6">
        <f t="shared" si="0"/>
        <v>44561</v>
      </c>
      <c r="G10" s="6">
        <f t="shared" si="0"/>
        <v>44562</v>
      </c>
      <c r="H10" s="6">
        <f t="shared" si="0"/>
        <v>44563</v>
      </c>
      <c r="J10" s="8">
        <f t="array" aca="1" ref="J10" ca="1">IFERROR(INDEX(Citas,SMALL(IF(INT(INDEX(Citas,0,1))=$J$7,MATCH(ROW(Citas),ROW(Citas),0),""),ROW(A1)),COLUMN(A1)),"")</f>
        <v>44575</v>
      </c>
      <c r="K10" s="9">
        <f t="array" aca="1" ref="K10" ca="1">IFERROR(INDEX(Citas,SMALL(IF(INT(INDEX(Citas,0,1))=$J$7,MATCH(ROW(Citas),ROW(Citas),0),""),ROW(B1)),COLUMN(B1)),"")</f>
        <v>0.33333333333333331</v>
      </c>
      <c r="L10" s="26" t="str">
        <f t="array" aca="1" ref="L10" ca="1">IFERROR(INDEX(Citas,SMALL(IF(INT(INDEX(Citas,0,1))=$J$7,MATCH(ROW(Citas),ROW(Citas),0),""),ROW(C1)),COLUMN(C1)),"")</f>
        <v>Inicio Vencimiento Mensual Diciembre 2021</v>
      </c>
    </row>
    <row r="11" spans="1:12" ht="26.25" customHeight="1" thickBot="1" x14ac:dyDescent="0.45">
      <c r="B11" s="6">
        <f>H10+1</f>
        <v>44564</v>
      </c>
      <c r="C11" s="6">
        <f>B11+1</f>
        <v>44565</v>
      </c>
      <c r="D11" s="6">
        <f t="shared" ref="D11:H11" si="1">C11+1</f>
        <v>44566</v>
      </c>
      <c r="E11" s="6">
        <f t="shared" si="1"/>
        <v>44567</v>
      </c>
      <c r="F11" s="6">
        <f t="shared" si="1"/>
        <v>44568</v>
      </c>
      <c r="G11" s="6">
        <f t="shared" si="1"/>
        <v>44569</v>
      </c>
      <c r="H11" s="6">
        <f t="shared" si="1"/>
        <v>44570</v>
      </c>
      <c r="J11" s="8" t="str">
        <f t="array" aca="1" ref="J11" ca="1">IFERROR(INDEX(Citas,SMALL(IF(INT(INDEX(Citas,0,1))=$J$7,MATCH(ROW(Citas),ROW(Citas),0),""),ROW(A2)),COLUMN(A2)),"")</f>
        <v/>
      </c>
      <c r="K11" s="9" t="str">
        <f t="array" aca="1" ref="K11" ca="1">IFERROR(INDEX(Citas,SMALL(IF(INT(INDEX(Citas,0,1))=$J$7,MATCH(ROW(Citas),ROW(Citas),0),""),ROW(B2)),COLUMN(B2)),"")</f>
        <v/>
      </c>
      <c r="L11" s="26" t="str">
        <f t="array" aca="1" ref="L11" ca="1">IFERROR(INDEX(Citas,SMALL(IF(INT(INDEX(Citas,0,1))=$J$7,MATCH(ROW(Citas),ROW(Citas),0),""),ROW(C2)),COLUMN(C2)),"")</f>
        <v/>
      </c>
    </row>
    <row r="12" spans="1:12" ht="26.25" customHeight="1" thickBot="1" x14ac:dyDescent="0.45">
      <c r="B12" s="6">
        <f t="shared" ref="B12:B15" si="2">H11+1</f>
        <v>44571</v>
      </c>
      <c r="C12" s="6">
        <f t="shared" ref="C12:H12" si="3">B12+1</f>
        <v>44572</v>
      </c>
      <c r="D12" s="6">
        <f t="shared" si="3"/>
        <v>44573</v>
      </c>
      <c r="E12" s="6">
        <f>D12+1</f>
        <v>44574</v>
      </c>
      <c r="F12" s="6">
        <f t="shared" si="3"/>
        <v>44575</v>
      </c>
      <c r="G12" s="6">
        <f t="shared" si="3"/>
        <v>44576</v>
      </c>
      <c r="H12" s="6">
        <f t="shared" si="3"/>
        <v>44577</v>
      </c>
      <c r="J12" s="8" t="str">
        <f t="array" aca="1" ref="J12" ca="1">IFERROR(INDEX(Citas,SMALL(IF(INT(INDEX(Citas,0,1))=$J$7,MATCH(ROW(Citas),ROW(Citas),0),""),ROW(A3)),COLUMN(A3)),"")</f>
        <v/>
      </c>
      <c r="K12" s="9" t="str">
        <f t="array" aca="1" ref="K12" ca="1">IFERROR(INDEX(Citas,SMALL(IF(INT(INDEX(Citas,0,1))=$J$7,MATCH(ROW(Citas),ROW(Citas),0),""),ROW(B3)),COLUMN(B3)),"")</f>
        <v/>
      </c>
      <c r="L12" s="26" t="str">
        <f t="array" aca="1" ref="L12" ca="1">IFERROR(INDEX(Citas,SMALL(IF(INT(INDEX(Citas,0,1))=$J$7,MATCH(ROW(Citas),ROW(Citas),0),""),ROW(C3)),COLUMN(C3)),"")</f>
        <v/>
      </c>
    </row>
    <row r="13" spans="1:12" ht="26.25" customHeight="1" thickBot="1" x14ac:dyDescent="0.45">
      <c r="B13" s="6">
        <f t="shared" si="2"/>
        <v>44578</v>
      </c>
      <c r="C13" s="6">
        <f t="shared" ref="C13:H13" si="4">B13+1</f>
        <v>44579</v>
      </c>
      <c r="D13" s="6">
        <f t="shared" si="4"/>
        <v>44580</v>
      </c>
      <c r="E13" s="6">
        <f t="shared" si="4"/>
        <v>44581</v>
      </c>
      <c r="F13" s="6">
        <f t="shared" si="4"/>
        <v>44582</v>
      </c>
      <c r="G13" s="6">
        <f t="shared" si="4"/>
        <v>44583</v>
      </c>
      <c r="H13" s="6">
        <f t="shared" si="4"/>
        <v>44584</v>
      </c>
      <c r="J13" s="8" t="str">
        <f t="array" aca="1" ref="J13" ca="1">IFERROR(INDEX(Citas,SMALL(IF(INT(INDEX(Citas,0,1))=$J$7,MATCH(ROW(Citas),ROW(Citas),0),""),ROW(A4)),COLUMN(A4)),"")</f>
        <v/>
      </c>
      <c r="K13" s="9" t="str">
        <f t="array" aca="1" ref="K13" ca="1">IFERROR(INDEX(Citas,SMALL(IF(INT(INDEX(Citas,0,1))=$J$7,MATCH(ROW(Citas),ROW(Citas),0),""),ROW(B4)),COLUMN(B4)),"")</f>
        <v/>
      </c>
      <c r="L13" s="26" t="str">
        <f t="array" aca="1" ref="L13" ca="1">IFERROR(INDEX(Citas,SMALL(IF(INT(INDEX(Citas,0,1))=$J$7,MATCH(ROW(Citas),ROW(Citas),0),""),ROW(C4)),COLUMN(C4)),"")</f>
        <v/>
      </c>
    </row>
    <row r="14" spans="1:12" ht="26.25" customHeight="1" thickBot="1" x14ac:dyDescent="0.45">
      <c r="B14" s="6">
        <f t="shared" si="2"/>
        <v>44585</v>
      </c>
      <c r="C14" s="6">
        <f t="shared" ref="C14:H14" si="5">B14+1</f>
        <v>44586</v>
      </c>
      <c r="D14" s="6">
        <f t="shared" si="5"/>
        <v>44587</v>
      </c>
      <c r="E14" s="6">
        <f t="shared" si="5"/>
        <v>44588</v>
      </c>
      <c r="F14" s="6">
        <f t="shared" si="5"/>
        <v>44589</v>
      </c>
      <c r="G14" s="6">
        <f t="shared" si="5"/>
        <v>44590</v>
      </c>
      <c r="H14" s="6">
        <f t="shared" si="5"/>
        <v>44591</v>
      </c>
      <c r="J14" s="8" t="str">
        <f t="array" aca="1" ref="J14" ca="1">IFERROR(INDEX(Citas,SMALL(IF(INT(INDEX(Citas,0,1))=$J$7,MATCH(ROW(Citas),ROW(Citas),0),""),ROW(A5)),COLUMN(A5)),"")</f>
        <v/>
      </c>
      <c r="K14" s="9" t="str">
        <f t="array" aca="1" ref="K14" ca="1">IFERROR(INDEX(Citas,SMALL(IF(INT(INDEX(Citas,0,1))=$J$7,MATCH(ROW(Citas),ROW(Citas),0),""),ROW(B5)),COLUMN(B5)),"")</f>
        <v/>
      </c>
      <c r="L14" s="26" t="str">
        <f t="array" aca="1" ref="L14" ca="1">IFERROR(INDEX(Citas,SMALL(IF(INT(INDEX(Citas,0,1))=$J$7,MATCH(ROW(Citas),ROW(Citas),0),""),ROW(C5)),COLUMN(C5)),"")</f>
        <v/>
      </c>
    </row>
    <row r="15" spans="1:12" ht="26.25" customHeight="1" thickBot="1" x14ac:dyDescent="0.45">
      <c r="B15" s="6">
        <f t="shared" si="2"/>
        <v>44592</v>
      </c>
      <c r="C15" s="6">
        <f t="shared" ref="C15:H15" si="6">B15+1</f>
        <v>44593</v>
      </c>
      <c r="D15" s="6">
        <f t="shared" si="6"/>
        <v>44594</v>
      </c>
      <c r="E15" s="6">
        <f t="shared" si="6"/>
        <v>44595</v>
      </c>
      <c r="F15" s="6">
        <f t="shared" si="6"/>
        <v>44596</v>
      </c>
      <c r="G15" s="6">
        <f t="shared" si="6"/>
        <v>44597</v>
      </c>
      <c r="H15" s="6">
        <f t="shared" si="6"/>
        <v>44598</v>
      </c>
      <c r="J15" s="8" t="str">
        <f t="array" aca="1" ref="J15" ca="1">IFERROR(INDEX(Citas,SMALL(IF(INT(INDEX(Citas,0,1))=$J$7,MATCH(ROW(Citas),ROW(Citas),0),""),ROW(A6)),COLUMN(A6)),"")</f>
        <v/>
      </c>
      <c r="K15" s="9" t="str">
        <f t="array" aca="1" ref="K15" ca="1">IFERROR(INDEX(Citas,SMALL(IF(INT(INDEX(Citas,0,1))=$J$7,MATCH(ROW(Citas),ROW(Citas),0),""),ROW(B6)),COLUMN(B6)),"")</f>
        <v/>
      </c>
      <c r="L15" s="26" t="str">
        <f t="array" aca="1" ref="L15" ca="1">IFERROR(INDEX(Citas,SMALL(IF(INT(INDEX(Citas,0,1))=$J$7,MATCH(ROW(Citas),ROW(Citas),0),""),ROW(C6)),COLUMN(C6)),"")</f>
        <v/>
      </c>
    </row>
    <row r="16" spans="1:12" ht="26.25" customHeight="1" thickBot="1" x14ac:dyDescent="0.45">
      <c r="J16" s="8" t="str">
        <f t="array" aca="1" ref="J16" ca="1">IFERROR(INDEX(Citas,SMALL(IF(INT(INDEX(Citas,0,1))=$J$7,MATCH(ROW(Citas),ROW(Citas),0),""),ROW(A7)),COLUMN(A7)),"")</f>
        <v/>
      </c>
      <c r="K16" s="9" t="str">
        <f t="array" aca="1" ref="K16" ca="1">IFERROR(INDEX(Citas,SMALL(IF(INT(INDEX(Citas,0,1))=$J$7,MATCH(ROW(Citas),ROW(Citas),0),""),ROW(B7)),COLUMN(B7)),"")</f>
        <v/>
      </c>
      <c r="L16" s="26" t="str">
        <f t="array" aca="1" ref="L16" ca="1">IFERROR(INDEX(Citas,SMALL(IF(INT(INDEX(Citas,0,1))=$J$7,MATCH(ROW(Citas),ROW(Citas),0),""),ROW(C7)),COLUMN(C7)),"")</f>
        <v/>
      </c>
    </row>
    <row r="17" spans="10:12" ht="26.25" customHeight="1" thickBot="1" x14ac:dyDescent="0.45">
      <c r="J17" s="8" t="str">
        <f t="array" aca="1" ref="J17" ca="1">IFERROR(INDEX(Citas,SMALL(IF(INT(INDEX(Citas,0,1))=$J$7,MATCH(ROW(Citas),ROW(Citas),0),""),ROW(A8)),COLUMN(A8)),"")</f>
        <v/>
      </c>
      <c r="K17" s="9" t="str">
        <f t="array" aca="1" ref="K17" ca="1">IFERROR(INDEX(Citas,SMALL(IF(INT(INDEX(Citas,0,1))=$J$7,MATCH(ROW(Citas),ROW(Citas),0),""),ROW(B8)),COLUMN(B8)),"")</f>
        <v/>
      </c>
      <c r="L17" s="26" t="str">
        <f t="array" aca="1" ref="L17" ca="1">IFERROR(INDEX(Citas,SMALL(IF(INT(INDEX(Citas,0,1))=$J$7,MATCH(ROW(Citas),ROW(Citas),0),""),ROW(C8)),COLUMN(C8)),"")</f>
        <v/>
      </c>
    </row>
    <row r="18" spans="10:12" ht="26.25" customHeight="1" thickBot="1" x14ac:dyDescent="0.45">
      <c r="J18" s="8" t="str">
        <f t="array" aca="1" ref="J18" ca="1">IFERROR(INDEX(Citas,SMALL(IF(INT(INDEX(Citas,0,1))=$J$7,MATCH(ROW(Citas),ROW(Citas),0),""),ROW(A9)),COLUMN(A9)),"")</f>
        <v/>
      </c>
      <c r="K18" s="9" t="str">
        <f t="array" aca="1" ref="K18" ca="1">IFERROR(INDEX(Citas,SMALL(IF(INT(INDEX(Citas,0,1))=$J$7,MATCH(ROW(Citas),ROW(Citas),0),""),ROW(B9)),COLUMN(B9)),"")</f>
        <v/>
      </c>
      <c r="L18" s="26" t="str">
        <f t="array" aca="1" ref="L18" ca="1">IFERROR(INDEX(Citas,SMALL(IF(INT(INDEX(Citas,0,1))=$J$7,MATCH(ROW(Citas),ROW(Citas),0),""),ROW(C9)),COLUMN(C9)),"")</f>
        <v/>
      </c>
    </row>
    <row r="19" spans="10:12" ht="26.25" customHeight="1" thickBot="1" x14ac:dyDescent="0.45">
      <c r="J19" s="8" t="str">
        <f t="array" aca="1" ref="J19" ca="1">IFERROR(INDEX(Citas,SMALL(IF(INT(INDEX(Citas,0,1))=$J$7,MATCH(ROW(Citas),ROW(Citas),0),""),ROW(A10)),COLUMN(A10)),"")</f>
        <v/>
      </c>
      <c r="K19" s="9" t="str">
        <f t="array" aca="1" ref="K19" ca="1">IFERROR(INDEX(Citas,SMALL(IF(INT(INDEX(Citas,0,1))=$J$7,MATCH(ROW(Citas),ROW(Citas),0),""),ROW(B10)),COLUMN(B10)),"")</f>
        <v/>
      </c>
      <c r="L19" s="26" t="str">
        <f t="array" aca="1" ref="L19" ca="1">IFERROR(INDEX(Citas,SMALL(IF(INT(INDEX(Citas,0,1))=$J$7,MATCH(ROW(Citas),ROW(Citas),0),""),ROW(C10)),COLUMN(C10)),"")</f>
        <v/>
      </c>
    </row>
    <row r="20" spans="10:12" x14ac:dyDescent="0.3">
      <c r="J20" s="7"/>
      <c r="K20" s="7"/>
      <c r="L20" s="27"/>
    </row>
    <row r="21" spans="10:12" x14ac:dyDescent="0.3">
      <c r="J21" s="7"/>
      <c r="K21" s="7"/>
      <c r="L21" s="27"/>
    </row>
    <row r="22" spans="10:12" x14ac:dyDescent="0.3">
      <c r="J22" s="7"/>
      <c r="K22" s="7"/>
      <c r="L22" s="27"/>
    </row>
    <row r="23" spans="10:12" x14ac:dyDescent="0.3">
      <c r="J23" s="7"/>
      <c r="K23" s="7"/>
      <c r="L23" s="27"/>
    </row>
    <row r="24" spans="10:12" x14ac:dyDescent="0.3">
      <c r="J24" s="7"/>
      <c r="K24" s="7"/>
      <c r="L24" s="27"/>
    </row>
    <row r="25" spans="10:12" x14ac:dyDescent="0.3">
      <c r="J25" s="7"/>
      <c r="K25" s="7"/>
      <c r="L25" s="7"/>
    </row>
    <row r="26" spans="10:12" x14ac:dyDescent="0.3">
      <c r="J26" s="7"/>
      <c r="K26" s="7"/>
      <c r="L26" s="7"/>
    </row>
  </sheetData>
  <mergeCells count="2">
    <mergeCell ref="B8:H8"/>
    <mergeCell ref="J8:L8"/>
  </mergeCells>
  <conditionalFormatting sqref="J10:J19 B10:H15">
    <cfRule type="expression" dxfId="13" priority="15">
      <formula>MONTH(B10)&lt;&gt;MONTH($B$8)</formula>
    </cfRule>
  </conditionalFormatting>
  <conditionalFormatting sqref="K10:L19">
    <cfRule type="expression" dxfId="12" priority="6">
      <formula>MONTH(K10)&lt;&gt;MONTH($B$8)</formula>
    </cfRule>
  </conditionalFormatting>
  <conditionalFormatting sqref="B10:H15">
    <cfRule type="expression" dxfId="11" priority="1">
      <formula>AND(MONTH(B10)=MONTH($B$8),VLOOKUP(B$9,Laborables,2,0)="No")</formula>
    </cfRule>
    <cfRule type="expression" dxfId="10" priority="2">
      <formula>VLOOKUP(B10,Feriados,1,0)</formula>
    </cfRule>
    <cfRule type="expression" dxfId="9" priority="3">
      <formula>OR(B10=INDEX(Citas,0,1))</formula>
    </cfRule>
  </conditionalFormatting>
  <dataValidations count="2">
    <dataValidation type="list" allowBlank="1" showInputMessage="1" showErrorMessage="1" sqref="E4">
      <formula1>Año</formula1>
    </dataValidation>
    <dataValidation type="list" allowBlank="1" showInputMessage="1" showErrorMessage="1" sqref="E5:E7">
      <formula1>Meses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92D050"/>
  </sheetPr>
  <dimension ref="B2:J100"/>
  <sheetViews>
    <sheetView showGridLines="0" tabSelected="1" zoomScaleNormal="100" workbookViewId="0">
      <pane xSplit="1" ySplit="5" topLeftCell="B29" activePane="bottomRight" state="frozen"/>
      <selection pane="topRight" activeCell="B1" sqref="B1"/>
      <selection pane="bottomLeft" activeCell="A6" sqref="A6"/>
      <selection pane="bottomRight" activeCell="B4" sqref="B4"/>
    </sheetView>
  </sheetViews>
  <sheetFormatPr baseColWidth="10" defaultRowHeight="14.4" x14ac:dyDescent="0.3"/>
  <cols>
    <col min="1" max="1" width="3.109375" customWidth="1"/>
    <col min="2" max="2" width="17.5546875" customWidth="1"/>
    <col min="3" max="3" width="16.88671875" bestFit="1" customWidth="1"/>
    <col min="4" max="4" width="51.77734375" customWidth="1"/>
  </cols>
  <sheetData>
    <row r="2" spans="2:10" s="4" customFormat="1" ht="54.9" customHeight="1" x14ac:dyDescent="0.3">
      <c r="B2" s="3"/>
      <c r="C2" s="3"/>
      <c r="D2" s="3"/>
      <c r="E2" s="3"/>
      <c r="F2" s="3"/>
      <c r="G2" s="3"/>
      <c r="H2" s="3"/>
      <c r="I2" s="3"/>
      <c r="J2" s="3"/>
    </row>
    <row r="4" spans="2:10" ht="18" x14ac:dyDescent="0.3">
      <c r="B4" s="18" t="s">
        <v>36</v>
      </c>
    </row>
    <row r="5" spans="2:10" ht="18.600000000000001" thickBot="1" x14ac:dyDescent="0.35">
      <c r="B5" s="5" t="s">
        <v>17</v>
      </c>
      <c r="C5" s="5" t="s">
        <v>16</v>
      </c>
      <c r="D5" s="5" t="s">
        <v>35</v>
      </c>
    </row>
    <row r="6" spans="2:10" ht="18.600000000000001" thickBot="1" x14ac:dyDescent="0.4">
      <c r="B6" s="29">
        <v>44197</v>
      </c>
      <c r="C6" s="28">
        <v>0.33333333333333331</v>
      </c>
      <c r="D6" s="12" t="s">
        <v>65</v>
      </c>
    </row>
    <row r="7" spans="2:10" ht="18.600000000000001" thickBot="1" x14ac:dyDescent="0.4">
      <c r="B7" s="29">
        <v>44238</v>
      </c>
      <c r="C7" s="28">
        <v>0.33333333333333331</v>
      </c>
      <c r="D7" s="12" t="s">
        <v>50</v>
      </c>
    </row>
    <row r="8" spans="2:10" ht="18.600000000000001" thickBot="1" x14ac:dyDescent="0.4">
      <c r="B8" s="29">
        <v>44266</v>
      </c>
      <c r="C8" s="28">
        <v>0.33333333333333331</v>
      </c>
      <c r="D8" s="12" t="s">
        <v>51</v>
      </c>
    </row>
    <row r="9" spans="2:10" ht="18.600000000000001" thickBot="1" x14ac:dyDescent="0.4">
      <c r="B9" s="29">
        <v>44301</v>
      </c>
      <c r="C9" s="28">
        <v>0.33333333333333331</v>
      </c>
      <c r="D9" s="12" t="s">
        <v>52</v>
      </c>
    </row>
    <row r="10" spans="2:10" ht="18.600000000000001" thickBot="1" x14ac:dyDescent="0.4">
      <c r="B10" s="29">
        <v>44329</v>
      </c>
      <c r="C10" s="28">
        <v>0.33333333333333331</v>
      </c>
      <c r="D10" s="12" t="s">
        <v>53</v>
      </c>
    </row>
    <row r="11" spans="2:10" ht="18.600000000000001" thickBot="1" x14ac:dyDescent="0.4">
      <c r="B11" s="29">
        <v>44358</v>
      </c>
      <c r="C11" s="28">
        <v>0.33333333333333331</v>
      </c>
      <c r="D11" s="12" t="s">
        <v>54</v>
      </c>
    </row>
    <row r="12" spans="2:10" ht="18.600000000000001" thickBot="1" x14ac:dyDescent="0.4">
      <c r="B12" s="29">
        <v>44390</v>
      </c>
      <c r="C12" s="28">
        <v>0.33333333333333331</v>
      </c>
      <c r="D12" s="12" t="s">
        <v>55</v>
      </c>
    </row>
    <row r="13" spans="2:10" ht="18.600000000000001" thickBot="1" x14ac:dyDescent="0.4">
      <c r="B13" s="29">
        <v>44420</v>
      </c>
      <c r="C13" s="28">
        <v>0.33333333333333331</v>
      </c>
      <c r="D13" s="12" t="s">
        <v>56</v>
      </c>
    </row>
    <row r="14" spans="2:10" ht="18.600000000000001" thickBot="1" x14ac:dyDescent="0.4">
      <c r="B14" s="29">
        <v>44452</v>
      </c>
      <c r="C14" s="28">
        <v>0.33333333333333331</v>
      </c>
      <c r="D14" s="12" t="s">
        <v>57</v>
      </c>
    </row>
    <row r="15" spans="2:10" ht="18.600000000000001" thickBot="1" x14ac:dyDescent="0.4">
      <c r="B15" s="29">
        <v>44483</v>
      </c>
      <c r="C15" s="28">
        <v>0.33333333333333331</v>
      </c>
      <c r="D15" s="12" t="s">
        <v>58</v>
      </c>
    </row>
    <row r="16" spans="2:10" ht="18.600000000000001" thickBot="1" x14ac:dyDescent="0.4">
      <c r="B16" s="29">
        <v>44512</v>
      </c>
      <c r="C16" s="28">
        <v>0.33333333333333331</v>
      </c>
      <c r="D16" s="12" t="s">
        <v>59</v>
      </c>
    </row>
    <row r="17" spans="2:4" ht="18.600000000000001" thickBot="1" x14ac:dyDescent="0.4">
      <c r="B17" s="29">
        <v>44544</v>
      </c>
      <c r="C17" s="28">
        <v>0.33333333333333331</v>
      </c>
      <c r="D17" s="12" t="s">
        <v>60</v>
      </c>
    </row>
    <row r="18" spans="2:4" ht="18.600000000000001" thickBot="1" x14ac:dyDescent="0.4">
      <c r="B18" s="29">
        <v>44574</v>
      </c>
      <c r="C18" s="28">
        <v>0.33333333333333331</v>
      </c>
      <c r="D18" s="12" t="s">
        <v>61</v>
      </c>
    </row>
    <row r="19" spans="2:4" ht="18.600000000000001" thickBot="1" x14ac:dyDescent="0.4">
      <c r="B19" s="29">
        <v>44239</v>
      </c>
      <c r="C19" s="28">
        <v>0.33333333333333331</v>
      </c>
      <c r="D19" s="12" t="s">
        <v>38</v>
      </c>
    </row>
    <row r="20" spans="2:4" ht="18.600000000000001" thickBot="1" x14ac:dyDescent="0.4">
      <c r="B20" s="29">
        <v>44267</v>
      </c>
      <c r="C20" s="28">
        <v>0.33333333333333331</v>
      </c>
      <c r="D20" s="12" t="s">
        <v>39</v>
      </c>
    </row>
    <row r="21" spans="2:4" ht="18.600000000000001" thickBot="1" x14ac:dyDescent="0.4">
      <c r="B21" s="29">
        <v>44301</v>
      </c>
      <c r="C21" s="28">
        <v>0.33333333333333331</v>
      </c>
      <c r="D21" s="12" t="s">
        <v>40</v>
      </c>
    </row>
    <row r="22" spans="2:4" ht="18.600000000000001" thickBot="1" x14ac:dyDescent="0.4">
      <c r="B22" s="29">
        <v>44332</v>
      </c>
      <c r="C22" s="28">
        <v>0.33333333333333331</v>
      </c>
      <c r="D22" s="12" t="s">
        <v>41</v>
      </c>
    </row>
    <row r="23" spans="2:4" ht="18.600000000000001" thickBot="1" x14ac:dyDescent="0.4">
      <c r="B23" s="29">
        <v>44361</v>
      </c>
      <c r="C23" s="28">
        <v>0.33333333333333331</v>
      </c>
      <c r="D23" s="12" t="s">
        <v>42</v>
      </c>
    </row>
    <row r="24" spans="2:4" ht="18.600000000000001" thickBot="1" x14ac:dyDescent="0.4">
      <c r="B24" s="29">
        <v>44391</v>
      </c>
      <c r="C24" s="28">
        <v>0.33333333333333331</v>
      </c>
      <c r="D24" s="12" t="s">
        <v>43</v>
      </c>
    </row>
    <row r="25" spans="2:4" ht="18.600000000000001" thickBot="1" x14ac:dyDescent="0.4">
      <c r="B25" s="29">
        <v>44421</v>
      </c>
      <c r="C25" s="28">
        <v>0.33333333333333331</v>
      </c>
      <c r="D25" s="12" t="s">
        <v>44</v>
      </c>
    </row>
    <row r="26" spans="2:4" ht="18.600000000000001" thickBot="1" x14ac:dyDescent="0.4">
      <c r="B26" s="29">
        <v>44453</v>
      </c>
      <c r="C26" s="28">
        <v>0.33333333333333331</v>
      </c>
      <c r="D26" s="12" t="s">
        <v>45</v>
      </c>
    </row>
    <row r="27" spans="2:4" ht="18.600000000000001" thickBot="1" x14ac:dyDescent="0.4">
      <c r="B27" s="29">
        <v>44484</v>
      </c>
      <c r="C27" s="28">
        <v>0.33333333333333331</v>
      </c>
      <c r="D27" s="12" t="s">
        <v>46</v>
      </c>
    </row>
    <row r="28" spans="2:4" ht="18.600000000000001" thickBot="1" x14ac:dyDescent="0.4">
      <c r="B28" s="29">
        <v>44515</v>
      </c>
      <c r="C28" s="28">
        <v>0.33333333333333331</v>
      </c>
      <c r="D28" s="12" t="s">
        <v>47</v>
      </c>
    </row>
    <row r="29" spans="2:4" ht="18.600000000000001" thickBot="1" x14ac:dyDescent="0.4">
      <c r="B29" s="29">
        <v>44545</v>
      </c>
      <c r="C29" s="28">
        <v>0.33333333333333331</v>
      </c>
      <c r="D29" s="12" t="s">
        <v>48</v>
      </c>
    </row>
    <row r="30" spans="2:4" ht="18.600000000000001" thickBot="1" x14ac:dyDescent="0.4">
      <c r="B30" s="29">
        <v>44575</v>
      </c>
      <c r="C30" s="28">
        <v>0.33333333333333331</v>
      </c>
      <c r="D30" s="12" t="s">
        <v>49</v>
      </c>
    </row>
    <row r="31" spans="2:4" ht="18.600000000000001" thickBot="1" x14ac:dyDescent="0.4">
      <c r="B31" s="30">
        <v>44607</v>
      </c>
      <c r="C31" s="28">
        <v>0.33333333333333331</v>
      </c>
      <c r="D31" s="23" t="s">
        <v>67</v>
      </c>
    </row>
    <row r="32" spans="2:4" ht="18.600000000000001" thickBot="1" x14ac:dyDescent="0.4">
      <c r="B32" s="30">
        <v>44636</v>
      </c>
      <c r="C32" s="28">
        <v>0.33333333333333331</v>
      </c>
      <c r="D32" s="23" t="s">
        <v>66</v>
      </c>
    </row>
    <row r="33" spans="2:4" ht="18.600000000000001" thickBot="1" x14ac:dyDescent="0.4">
      <c r="B33" s="30">
        <v>44698</v>
      </c>
      <c r="C33" s="28">
        <v>0.33333333333333331</v>
      </c>
      <c r="D33" s="23" t="s">
        <v>68</v>
      </c>
    </row>
    <row r="34" spans="2:4" ht="18.600000000000001" thickBot="1" x14ac:dyDescent="0.4">
      <c r="B34" s="30"/>
      <c r="C34" s="22"/>
      <c r="D34" s="23"/>
    </row>
    <row r="35" spans="2:4" ht="18.600000000000001" thickBot="1" x14ac:dyDescent="0.4">
      <c r="B35" s="30"/>
      <c r="C35" s="22"/>
      <c r="D35" s="23"/>
    </row>
    <row r="36" spans="2:4" ht="18.600000000000001" thickBot="1" x14ac:dyDescent="0.4">
      <c r="B36" s="30"/>
      <c r="C36" s="22"/>
      <c r="D36" s="23"/>
    </row>
    <row r="37" spans="2:4" ht="18.600000000000001" thickBot="1" x14ac:dyDescent="0.4">
      <c r="B37" s="30"/>
      <c r="C37" s="22"/>
      <c r="D37" s="23"/>
    </row>
    <row r="38" spans="2:4" ht="18.600000000000001" thickBot="1" x14ac:dyDescent="0.4">
      <c r="B38" s="30"/>
      <c r="C38" s="22"/>
      <c r="D38" s="23"/>
    </row>
    <row r="39" spans="2:4" ht="18.600000000000001" thickBot="1" x14ac:dyDescent="0.4">
      <c r="B39" s="30"/>
      <c r="C39" s="22"/>
      <c r="D39" s="23"/>
    </row>
    <row r="40" spans="2:4" ht="18.600000000000001" thickBot="1" x14ac:dyDescent="0.4">
      <c r="B40" s="30"/>
      <c r="C40" s="22"/>
      <c r="D40" s="23"/>
    </row>
    <row r="41" spans="2:4" ht="18.600000000000001" thickBot="1" x14ac:dyDescent="0.4">
      <c r="B41" s="30"/>
      <c r="C41" s="22"/>
      <c r="D41" s="23"/>
    </row>
    <row r="42" spans="2:4" ht="18.600000000000001" thickBot="1" x14ac:dyDescent="0.4">
      <c r="B42" s="30"/>
      <c r="C42" s="22"/>
      <c r="D42" s="23"/>
    </row>
    <row r="43" spans="2:4" ht="18.600000000000001" thickBot="1" x14ac:dyDescent="0.4">
      <c r="B43" s="30"/>
      <c r="C43" s="22"/>
      <c r="D43" s="23"/>
    </row>
    <row r="44" spans="2:4" ht="18.600000000000001" thickBot="1" x14ac:dyDescent="0.4">
      <c r="B44" s="30"/>
      <c r="C44" s="22"/>
      <c r="D44" s="23"/>
    </row>
    <row r="45" spans="2:4" ht="18.600000000000001" thickBot="1" x14ac:dyDescent="0.4">
      <c r="B45" s="30"/>
      <c r="C45" s="22"/>
      <c r="D45" s="23"/>
    </row>
    <row r="46" spans="2:4" ht="18.600000000000001" thickBot="1" x14ac:dyDescent="0.4">
      <c r="B46" s="30"/>
      <c r="C46" s="22"/>
      <c r="D46" s="23"/>
    </row>
    <row r="47" spans="2:4" ht="18.600000000000001" thickBot="1" x14ac:dyDescent="0.4">
      <c r="B47" s="30"/>
      <c r="C47" s="22"/>
      <c r="D47" s="23"/>
    </row>
    <row r="48" spans="2:4" ht="18.600000000000001" thickBot="1" x14ac:dyDescent="0.4">
      <c r="B48" s="30"/>
      <c r="C48" s="22"/>
      <c r="D48" s="23"/>
    </row>
    <row r="49" spans="2:4" ht="18.600000000000001" thickBot="1" x14ac:dyDescent="0.4">
      <c r="B49" s="30"/>
      <c r="C49" s="22"/>
      <c r="D49" s="23"/>
    </row>
    <row r="50" spans="2:4" ht="18.600000000000001" thickBot="1" x14ac:dyDescent="0.4">
      <c r="B50" s="30"/>
      <c r="C50" s="22"/>
      <c r="D50" s="23"/>
    </row>
    <row r="51" spans="2:4" ht="18.600000000000001" thickBot="1" x14ac:dyDescent="0.4">
      <c r="B51" s="30"/>
      <c r="C51" s="22"/>
      <c r="D51" s="23"/>
    </row>
    <row r="52" spans="2:4" ht="18.600000000000001" thickBot="1" x14ac:dyDescent="0.4">
      <c r="B52" s="30"/>
      <c r="C52" s="22"/>
      <c r="D52" s="23"/>
    </row>
    <row r="53" spans="2:4" ht="18.600000000000001" thickBot="1" x14ac:dyDescent="0.4">
      <c r="B53" s="30"/>
      <c r="C53" s="22"/>
      <c r="D53" s="23"/>
    </row>
    <row r="54" spans="2:4" ht="18.600000000000001" thickBot="1" x14ac:dyDescent="0.4">
      <c r="B54" s="30"/>
      <c r="C54" s="22"/>
      <c r="D54" s="23"/>
    </row>
    <row r="55" spans="2:4" ht="18.600000000000001" thickBot="1" x14ac:dyDescent="0.4">
      <c r="B55" s="30"/>
      <c r="C55" s="22"/>
      <c r="D55" s="23"/>
    </row>
    <row r="56" spans="2:4" ht="18.600000000000001" thickBot="1" x14ac:dyDescent="0.4">
      <c r="B56" s="30"/>
      <c r="C56" s="22"/>
      <c r="D56" s="23"/>
    </row>
    <row r="57" spans="2:4" ht="18.600000000000001" thickBot="1" x14ac:dyDescent="0.4">
      <c r="B57" s="30"/>
      <c r="C57" s="22"/>
      <c r="D57" s="23"/>
    </row>
    <row r="58" spans="2:4" ht="18.600000000000001" thickBot="1" x14ac:dyDescent="0.4">
      <c r="B58" s="30"/>
      <c r="C58" s="22"/>
      <c r="D58" s="23"/>
    </row>
    <row r="59" spans="2:4" ht="18.600000000000001" thickBot="1" x14ac:dyDescent="0.4">
      <c r="B59" s="30"/>
      <c r="C59" s="22"/>
      <c r="D59" s="23"/>
    </row>
    <row r="60" spans="2:4" ht="18.600000000000001" thickBot="1" x14ac:dyDescent="0.4">
      <c r="B60" s="30"/>
      <c r="C60" s="22"/>
      <c r="D60" s="23"/>
    </row>
    <row r="61" spans="2:4" ht="18.600000000000001" thickBot="1" x14ac:dyDescent="0.4">
      <c r="B61" s="30"/>
      <c r="C61" s="22"/>
      <c r="D61" s="23"/>
    </row>
    <row r="62" spans="2:4" ht="18.600000000000001" thickBot="1" x14ac:dyDescent="0.4">
      <c r="B62" s="30"/>
      <c r="C62" s="22"/>
      <c r="D62" s="23"/>
    </row>
    <row r="63" spans="2:4" ht="18.600000000000001" thickBot="1" x14ac:dyDescent="0.4">
      <c r="B63" s="30"/>
      <c r="C63" s="22"/>
      <c r="D63" s="23"/>
    </row>
    <row r="64" spans="2:4" ht="18.600000000000001" thickBot="1" x14ac:dyDescent="0.4">
      <c r="B64" s="30"/>
      <c r="C64" s="22"/>
      <c r="D64" s="23"/>
    </row>
    <row r="65" spans="2:4" ht="18.600000000000001" thickBot="1" x14ac:dyDescent="0.4">
      <c r="B65" s="30"/>
      <c r="C65" s="22"/>
      <c r="D65" s="23"/>
    </row>
    <row r="66" spans="2:4" ht="18.600000000000001" thickBot="1" x14ac:dyDescent="0.4">
      <c r="B66" s="30"/>
      <c r="C66" s="22"/>
      <c r="D66" s="23"/>
    </row>
    <row r="67" spans="2:4" ht="18.600000000000001" thickBot="1" x14ac:dyDescent="0.4">
      <c r="B67" s="30"/>
      <c r="C67" s="22"/>
      <c r="D67" s="23"/>
    </row>
    <row r="68" spans="2:4" ht="18.600000000000001" thickBot="1" x14ac:dyDescent="0.4">
      <c r="B68" s="30"/>
      <c r="C68" s="22"/>
      <c r="D68" s="23"/>
    </row>
    <row r="69" spans="2:4" ht="18.600000000000001" thickBot="1" x14ac:dyDescent="0.4">
      <c r="B69" s="30"/>
      <c r="C69" s="22"/>
      <c r="D69" s="23"/>
    </row>
    <row r="70" spans="2:4" ht="18.600000000000001" thickBot="1" x14ac:dyDescent="0.4">
      <c r="B70" s="30"/>
      <c r="C70" s="22"/>
      <c r="D70" s="23"/>
    </row>
    <row r="71" spans="2:4" ht="18.600000000000001" thickBot="1" x14ac:dyDescent="0.4">
      <c r="B71" s="30"/>
      <c r="C71" s="22"/>
      <c r="D71" s="23"/>
    </row>
    <row r="72" spans="2:4" ht="18.600000000000001" thickBot="1" x14ac:dyDescent="0.4">
      <c r="B72" s="30"/>
      <c r="C72" s="22"/>
      <c r="D72" s="23"/>
    </row>
    <row r="73" spans="2:4" ht="18.600000000000001" thickBot="1" x14ac:dyDescent="0.4">
      <c r="B73" s="30"/>
      <c r="C73" s="22"/>
      <c r="D73" s="23"/>
    </row>
    <row r="74" spans="2:4" ht="18.600000000000001" thickBot="1" x14ac:dyDescent="0.4">
      <c r="B74" s="30"/>
      <c r="C74" s="22"/>
      <c r="D74" s="23"/>
    </row>
    <row r="75" spans="2:4" ht="18.600000000000001" thickBot="1" x14ac:dyDescent="0.4">
      <c r="B75" s="30"/>
      <c r="C75" s="22"/>
      <c r="D75" s="23"/>
    </row>
    <row r="76" spans="2:4" ht="18.600000000000001" thickBot="1" x14ac:dyDescent="0.4">
      <c r="B76" s="30"/>
      <c r="C76" s="22"/>
      <c r="D76" s="23"/>
    </row>
    <row r="77" spans="2:4" ht="18.600000000000001" thickBot="1" x14ac:dyDescent="0.4">
      <c r="B77" s="30"/>
      <c r="C77" s="22"/>
      <c r="D77" s="23"/>
    </row>
    <row r="78" spans="2:4" ht="18.600000000000001" thickBot="1" x14ac:dyDescent="0.4">
      <c r="B78" s="30"/>
      <c r="C78" s="22"/>
      <c r="D78" s="23"/>
    </row>
    <row r="79" spans="2:4" ht="18.600000000000001" thickBot="1" x14ac:dyDescent="0.4">
      <c r="B79" s="30"/>
      <c r="C79" s="22"/>
      <c r="D79" s="23"/>
    </row>
    <row r="80" spans="2:4" ht="18.600000000000001" thickBot="1" x14ac:dyDescent="0.4">
      <c r="B80" s="30"/>
      <c r="C80" s="22"/>
      <c r="D80" s="23"/>
    </row>
    <row r="81" spans="2:4" ht="18.600000000000001" thickBot="1" x14ac:dyDescent="0.4">
      <c r="B81" s="30"/>
      <c r="C81" s="22"/>
      <c r="D81" s="23"/>
    </row>
    <row r="82" spans="2:4" ht="18.600000000000001" thickBot="1" x14ac:dyDescent="0.4">
      <c r="B82" s="30"/>
      <c r="C82" s="22"/>
      <c r="D82" s="23"/>
    </row>
    <row r="83" spans="2:4" ht="18.600000000000001" thickBot="1" x14ac:dyDescent="0.4">
      <c r="B83" s="30"/>
      <c r="C83" s="22"/>
      <c r="D83" s="23"/>
    </row>
    <row r="84" spans="2:4" ht="18.600000000000001" thickBot="1" x14ac:dyDescent="0.4">
      <c r="B84" s="30"/>
      <c r="C84" s="22"/>
      <c r="D84" s="23"/>
    </row>
    <row r="85" spans="2:4" ht="18.600000000000001" thickBot="1" x14ac:dyDescent="0.4">
      <c r="B85" s="30"/>
      <c r="C85" s="22"/>
      <c r="D85" s="23"/>
    </row>
    <row r="86" spans="2:4" ht="18.600000000000001" thickBot="1" x14ac:dyDescent="0.4">
      <c r="B86" s="30"/>
      <c r="C86" s="22"/>
      <c r="D86" s="23"/>
    </row>
    <row r="87" spans="2:4" ht="18.600000000000001" thickBot="1" x14ac:dyDescent="0.4">
      <c r="B87" s="30"/>
      <c r="C87" s="22"/>
      <c r="D87" s="23"/>
    </row>
    <row r="88" spans="2:4" ht="18.600000000000001" thickBot="1" x14ac:dyDescent="0.4">
      <c r="B88" s="30"/>
      <c r="C88" s="22"/>
      <c r="D88" s="23"/>
    </row>
    <row r="89" spans="2:4" ht="18.600000000000001" thickBot="1" x14ac:dyDescent="0.4">
      <c r="B89" s="30"/>
      <c r="C89" s="22"/>
      <c r="D89" s="23"/>
    </row>
    <row r="90" spans="2:4" ht="18.600000000000001" thickBot="1" x14ac:dyDescent="0.4">
      <c r="B90" s="30"/>
      <c r="C90" s="22"/>
      <c r="D90" s="23"/>
    </row>
    <row r="91" spans="2:4" ht="18.600000000000001" thickBot="1" x14ac:dyDescent="0.4">
      <c r="B91" s="30"/>
      <c r="C91" s="22"/>
      <c r="D91" s="23"/>
    </row>
    <row r="92" spans="2:4" ht="18.600000000000001" thickBot="1" x14ac:dyDescent="0.4">
      <c r="B92" s="30"/>
      <c r="C92" s="22"/>
      <c r="D92" s="23"/>
    </row>
    <row r="93" spans="2:4" ht="18.600000000000001" thickBot="1" x14ac:dyDescent="0.4">
      <c r="B93" s="30"/>
      <c r="C93" s="22"/>
      <c r="D93" s="23"/>
    </row>
    <row r="94" spans="2:4" ht="18.600000000000001" thickBot="1" x14ac:dyDescent="0.4">
      <c r="B94" s="30"/>
      <c r="C94" s="22"/>
      <c r="D94" s="23"/>
    </row>
    <row r="95" spans="2:4" ht="18.600000000000001" thickBot="1" x14ac:dyDescent="0.4">
      <c r="B95" s="30"/>
      <c r="C95" s="22"/>
      <c r="D95" s="23"/>
    </row>
    <row r="96" spans="2:4" ht="18.600000000000001" thickBot="1" x14ac:dyDescent="0.4">
      <c r="B96" s="30"/>
      <c r="C96" s="22"/>
      <c r="D96" s="23"/>
    </row>
    <row r="97" spans="2:4" ht="18.600000000000001" thickBot="1" x14ac:dyDescent="0.4">
      <c r="B97" s="30"/>
      <c r="C97" s="22"/>
      <c r="D97" s="23"/>
    </row>
    <row r="98" spans="2:4" ht="18.600000000000001" thickBot="1" x14ac:dyDescent="0.4">
      <c r="B98" s="30"/>
      <c r="C98" s="22"/>
      <c r="D98" s="23"/>
    </row>
    <row r="99" spans="2:4" ht="18.600000000000001" thickBot="1" x14ac:dyDescent="0.4">
      <c r="B99" s="30"/>
      <c r="C99" s="22"/>
      <c r="D99" s="23"/>
    </row>
    <row r="100" spans="2:4" ht="18" x14ac:dyDescent="0.35">
      <c r="B100" s="31"/>
      <c r="C100" s="24"/>
      <c r="D100" s="25"/>
    </row>
  </sheetData>
  <phoneticPr fontId="15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B2:I17"/>
  <sheetViews>
    <sheetView showGridLines="0" zoomScale="115" zoomScaleNormal="115" workbookViewId="0">
      <selection activeCell="D18" sqref="D18"/>
    </sheetView>
  </sheetViews>
  <sheetFormatPr baseColWidth="10" defaultRowHeight="14.4" x14ac:dyDescent="0.3"/>
  <cols>
    <col min="1" max="1" width="3.109375" customWidth="1"/>
    <col min="2" max="2" width="14.44140625" customWidth="1"/>
    <col min="3" max="3" width="27.88671875" customWidth="1"/>
  </cols>
  <sheetData>
    <row r="2" spans="2:9" s="4" customFormat="1" ht="54.9" customHeight="1" x14ac:dyDescent="0.3">
      <c r="B2" s="3"/>
      <c r="C2" s="3"/>
      <c r="D2" s="3"/>
      <c r="E2" s="3"/>
      <c r="F2" s="3"/>
      <c r="G2" s="3"/>
      <c r="H2" s="3"/>
      <c r="I2" s="3"/>
    </row>
    <row r="4" spans="2:9" ht="18.600000000000001" thickBot="1" x14ac:dyDescent="0.35">
      <c r="B4" s="18" t="s">
        <v>30</v>
      </c>
    </row>
    <row r="5" spans="2:9" ht="18.600000000000001" thickBot="1" x14ac:dyDescent="0.35">
      <c r="B5" s="36" t="s">
        <v>29</v>
      </c>
      <c r="C5" s="36"/>
    </row>
    <row r="6" spans="2:9" ht="18.600000000000001" thickBot="1" x14ac:dyDescent="0.4">
      <c r="B6" s="16" t="s">
        <v>17</v>
      </c>
      <c r="C6" s="16" t="s">
        <v>27</v>
      </c>
    </row>
    <row r="7" spans="2:9" ht="18.600000000000001" thickBot="1" x14ac:dyDescent="0.4">
      <c r="B7" s="10">
        <v>44562</v>
      </c>
      <c r="C7" s="11" t="s">
        <v>28</v>
      </c>
    </row>
    <row r="8" spans="2:9" ht="18.600000000000001" thickBot="1" x14ac:dyDescent="0.4">
      <c r="B8" s="10">
        <v>44842</v>
      </c>
      <c r="C8" s="11" t="s">
        <v>62</v>
      </c>
    </row>
    <row r="9" spans="2:9" ht="18.600000000000001" thickBot="1" x14ac:dyDescent="0.4">
      <c r="B9" s="10">
        <v>44866</v>
      </c>
      <c r="C9" s="11" t="s">
        <v>63</v>
      </c>
    </row>
    <row r="10" spans="2:9" ht="18.600000000000001" thickBot="1" x14ac:dyDescent="0.4">
      <c r="B10" s="10">
        <v>44920</v>
      </c>
      <c r="C10" s="11" t="s">
        <v>64</v>
      </c>
    </row>
    <row r="11" spans="2:9" ht="18.600000000000001" thickBot="1" x14ac:dyDescent="0.4">
      <c r="B11" s="10"/>
      <c r="C11" s="11"/>
    </row>
    <row r="12" spans="2:9" ht="18.600000000000001" thickBot="1" x14ac:dyDescent="0.4">
      <c r="B12" s="10"/>
      <c r="C12" s="11"/>
    </row>
    <row r="13" spans="2:9" ht="18.600000000000001" thickBot="1" x14ac:dyDescent="0.4">
      <c r="B13" s="10"/>
      <c r="C13" s="11"/>
    </row>
    <row r="14" spans="2:9" ht="18.600000000000001" thickBot="1" x14ac:dyDescent="0.4">
      <c r="B14" s="10"/>
      <c r="C14" s="11"/>
    </row>
    <row r="15" spans="2:9" ht="18.600000000000001" thickBot="1" x14ac:dyDescent="0.4">
      <c r="B15" s="10"/>
      <c r="C15" s="11"/>
    </row>
    <row r="16" spans="2:9" ht="18.600000000000001" thickBot="1" x14ac:dyDescent="0.4">
      <c r="B16" s="10"/>
      <c r="C16" s="11"/>
      <c r="E16" s="2"/>
    </row>
    <row r="17" spans="2:3" ht="18.600000000000001" thickBot="1" x14ac:dyDescent="0.4">
      <c r="B17" s="10"/>
      <c r="C17" s="11"/>
    </row>
  </sheetData>
  <mergeCells count="1">
    <mergeCell ref="B5:C5"/>
  </mergeCells>
  <conditionalFormatting sqref="B6:B17">
    <cfRule type="expression" dxfId="1" priority="12">
      <formula>MONTH(B6)&lt;&gt;MONTH($B$8)</formula>
    </cfRule>
  </conditionalFormatting>
  <conditionalFormatting sqref="C6:C17">
    <cfRule type="expression" dxfId="0" priority="11">
      <formula>MONTH(C6)&lt;&gt;MONTH($B$8)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34"/>
  <sheetViews>
    <sheetView showGridLines="0" workbookViewId="0">
      <selection activeCell="A2" sqref="A2"/>
    </sheetView>
  </sheetViews>
  <sheetFormatPr baseColWidth="10" defaultRowHeight="14.4" x14ac:dyDescent="0.3"/>
  <cols>
    <col min="1" max="1" width="21.109375" customWidth="1"/>
  </cols>
  <sheetData>
    <row r="2" spans="1:4" ht="18" x14ac:dyDescent="0.3">
      <c r="A2" s="5" t="s">
        <v>12</v>
      </c>
      <c r="B2" s="5" t="s">
        <v>13</v>
      </c>
      <c r="D2" s="5" t="s">
        <v>14</v>
      </c>
    </row>
    <row r="3" spans="1:4" x14ac:dyDescent="0.3">
      <c r="A3" s="17" t="s">
        <v>0</v>
      </c>
      <c r="B3" s="17">
        <v>1</v>
      </c>
      <c r="D3" s="17">
        <v>2019</v>
      </c>
    </row>
    <row r="4" spans="1:4" x14ac:dyDescent="0.3">
      <c r="A4" s="17" t="s">
        <v>1</v>
      </c>
      <c r="B4" s="17">
        <v>2</v>
      </c>
      <c r="D4" s="17">
        <v>2020</v>
      </c>
    </row>
    <row r="5" spans="1:4" x14ac:dyDescent="0.3">
      <c r="A5" s="17" t="s">
        <v>2</v>
      </c>
      <c r="B5" s="17">
        <v>3</v>
      </c>
      <c r="D5" s="17">
        <v>2021</v>
      </c>
    </row>
    <row r="6" spans="1:4" x14ac:dyDescent="0.3">
      <c r="A6" s="17" t="s">
        <v>3</v>
      </c>
      <c r="B6" s="17">
        <v>4</v>
      </c>
      <c r="D6" s="17">
        <v>2022</v>
      </c>
    </row>
    <row r="7" spans="1:4" x14ac:dyDescent="0.3">
      <c r="A7" s="17" t="s">
        <v>4</v>
      </c>
      <c r="B7" s="17">
        <v>5</v>
      </c>
      <c r="D7" s="17">
        <v>2023</v>
      </c>
    </row>
    <row r="8" spans="1:4" x14ac:dyDescent="0.3">
      <c r="A8" s="17" t="s">
        <v>5</v>
      </c>
      <c r="B8" s="17">
        <v>6</v>
      </c>
      <c r="D8" s="17">
        <v>2024</v>
      </c>
    </row>
    <row r="9" spans="1:4" x14ac:dyDescent="0.3">
      <c r="A9" s="17" t="s">
        <v>6</v>
      </c>
      <c r="B9" s="17">
        <v>7</v>
      </c>
      <c r="D9" s="17">
        <v>2025</v>
      </c>
    </row>
    <row r="10" spans="1:4" x14ac:dyDescent="0.3">
      <c r="A10" s="17" t="s">
        <v>7</v>
      </c>
      <c r="B10" s="17">
        <v>8</v>
      </c>
      <c r="D10" s="17">
        <v>2026</v>
      </c>
    </row>
    <row r="11" spans="1:4" x14ac:dyDescent="0.3">
      <c r="A11" s="17" t="s">
        <v>8</v>
      </c>
      <c r="B11" s="17">
        <v>9</v>
      </c>
      <c r="D11" s="17">
        <v>2027</v>
      </c>
    </row>
    <row r="12" spans="1:4" x14ac:dyDescent="0.3">
      <c r="A12" s="17" t="s">
        <v>9</v>
      </c>
      <c r="B12" s="17">
        <v>10</v>
      </c>
      <c r="D12" s="17">
        <v>2028</v>
      </c>
    </row>
    <row r="13" spans="1:4" x14ac:dyDescent="0.3">
      <c r="A13" s="17" t="s">
        <v>10</v>
      </c>
      <c r="B13" s="17">
        <v>11</v>
      </c>
      <c r="D13" s="17">
        <v>2029</v>
      </c>
    </row>
    <row r="14" spans="1:4" x14ac:dyDescent="0.3">
      <c r="A14" s="17" t="s">
        <v>11</v>
      </c>
      <c r="B14" s="17">
        <v>12</v>
      </c>
      <c r="D14" s="17">
        <v>2030</v>
      </c>
    </row>
    <row r="15" spans="1:4" x14ac:dyDescent="0.3">
      <c r="D15" s="17">
        <v>2031</v>
      </c>
    </row>
    <row r="16" spans="1:4" x14ac:dyDescent="0.3">
      <c r="D16" s="17">
        <v>2032</v>
      </c>
    </row>
    <row r="17" spans="4:4" x14ac:dyDescent="0.3">
      <c r="D17" s="17">
        <v>2033</v>
      </c>
    </row>
    <row r="18" spans="4:4" x14ac:dyDescent="0.3">
      <c r="D18" s="17">
        <v>2034</v>
      </c>
    </row>
    <row r="19" spans="4:4" x14ac:dyDescent="0.3">
      <c r="D19" s="17">
        <v>2035</v>
      </c>
    </row>
    <row r="20" spans="4:4" x14ac:dyDescent="0.3">
      <c r="D20" s="17">
        <v>2036</v>
      </c>
    </row>
    <row r="21" spans="4:4" x14ac:dyDescent="0.3">
      <c r="D21" s="17">
        <v>2037</v>
      </c>
    </row>
    <row r="22" spans="4:4" x14ac:dyDescent="0.3">
      <c r="D22" s="17">
        <v>2038</v>
      </c>
    </row>
    <row r="23" spans="4:4" x14ac:dyDescent="0.3">
      <c r="D23" s="17">
        <v>2039</v>
      </c>
    </row>
    <row r="24" spans="4:4" x14ac:dyDescent="0.3">
      <c r="D24" s="17">
        <v>2040</v>
      </c>
    </row>
    <row r="25" spans="4:4" x14ac:dyDescent="0.3">
      <c r="D25" s="17">
        <v>2041</v>
      </c>
    </row>
    <row r="26" spans="4:4" x14ac:dyDescent="0.3">
      <c r="D26" s="17">
        <v>2042</v>
      </c>
    </row>
    <row r="27" spans="4:4" x14ac:dyDescent="0.3">
      <c r="D27" s="17">
        <v>2043</v>
      </c>
    </row>
    <row r="28" spans="4:4" x14ac:dyDescent="0.3">
      <c r="D28" s="17">
        <v>2044</v>
      </c>
    </row>
    <row r="29" spans="4:4" x14ac:dyDescent="0.3">
      <c r="D29" s="17">
        <v>2045</v>
      </c>
    </row>
    <row r="30" spans="4:4" x14ac:dyDescent="0.3">
      <c r="D30" s="17">
        <v>2046</v>
      </c>
    </row>
    <row r="31" spans="4:4" x14ac:dyDescent="0.3">
      <c r="D31" s="17">
        <v>2047</v>
      </c>
    </row>
    <row r="32" spans="4:4" x14ac:dyDescent="0.3">
      <c r="D32" s="17">
        <v>2048</v>
      </c>
    </row>
    <row r="33" spans="4:4" x14ac:dyDescent="0.3">
      <c r="D33" s="17">
        <v>2049</v>
      </c>
    </row>
    <row r="34" spans="4:4" x14ac:dyDescent="0.3">
      <c r="D34" s="17">
        <v>2050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Calendario</vt:lpstr>
      <vt:lpstr>Tareas</vt:lpstr>
      <vt:lpstr>Feriados</vt:lpstr>
      <vt:lpstr>Auxiliar</vt:lpstr>
      <vt:lpstr>Año</vt:lpstr>
      <vt:lpstr>Meses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Eddy Escalante Ustariz</cp:lastModifiedBy>
  <dcterms:created xsi:type="dcterms:W3CDTF">2020-01-08T14:24:20Z</dcterms:created>
  <dcterms:modified xsi:type="dcterms:W3CDTF">2024-08-20T19:06:06Z</dcterms:modified>
</cp:coreProperties>
</file>